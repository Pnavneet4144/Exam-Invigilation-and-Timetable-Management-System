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Invigiation" sheetId="1" r:id="rId1"/>
    <sheet name="Count (2)" sheetId="4" r:id="rId2"/>
    <sheet name="Sheet3" sheetId="3" r:id="rId3"/>
    <sheet name="Sheet1" sheetId="5" r:id="rId4"/>
    <sheet name="Sheet2" sheetId="6" r:id="rId5"/>
  </sheets>
  <definedNames>
    <definedName name="_xlnm.Print_Titles" localSheetId="0">Invigiation!$1:$6</definedName>
  </definedNames>
  <calcPr calcId="144525"/>
</workbook>
</file>

<file path=xl/calcChain.xml><?xml version="1.0" encoding="utf-8"?>
<calcChain xmlns="http://schemas.openxmlformats.org/spreadsheetml/2006/main">
  <c r="J38" i="4" l="1"/>
  <c r="I38" i="4"/>
  <c r="H38" i="4"/>
  <c r="G38" i="4"/>
  <c r="F38" i="4"/>
  <c r="E38" i="4"/>
  <c r="D38" i="4"/>
  <c r="C38" i="4"/>
  <c r="K36" i="4"/>
  <c r="M36" i="4" s="1"/>
  <c r="M35" i="4"/>
  <c r="K35" i="4"/>
  <c r="K34" i="4"/>
  <c r="M34" i="4" s="1"/>
  <c r="K33" i="4"/>
  <c r="M33" i="4" s="1"/>
  <c r="K32" i="4"/>
  <c r="M32" i="4" s="1"/>
  <c r="K31" i="4"/>
  <c r="M31" i="4" s="1"/>
  <c r="K30" i="4"/>
  <c r="M30" i="4" s="1"/>
  <c r="K29" i="4"/>
  <c r="M29" i="4" s="1"/>
  <c r="K28" i="4"/>
  <c r="M28" i="4" s="1"/>
  <c r="M27" i="4"/>
  <c r="K27" i="4"/>
  <c r="K26" i="4"/>
  <c r="M26" i="4" s="1"/>
  <c r="K25" i="4"/>
  <c r="M25" i="4" s="1"/>
  <c r="K24" i="4"/>
  <c r="M24" i="4" s="1"/>
  <c r="K23" i="4"/>
  <c r="M23" i="4" s="1"/>
  <c r="K22" i="4"/>
  <c r="M22" i="4" s="1"/>
  <c r="K21" i="4"/>
  <c r="M21" i="4" s="1"/>
  <c r="K20" i="4"/>
  <c r="M20" i="4" s="1"/>
  <c r="M19" i="4"/>
  <c r="K19" i="4"/>
  <c r="K18" i="4"/>
  <c r="M18" i="4" s="1"/>
  <c r="K17" i="4"/>
  <c r="M17" i="4" s="1"/>
  <c r="K16" i="4"/>
  <c r="M16" i="4" s="1"/>
  <c r="M15" i="4"/>
  <c r="K15" i="4"/>
  <c r="K14" i="4"/>
  <c r="M14" i="4" s="1"/>
  <c r="K13" i="4"/>
  <c r="M13" i="4" s="1"/>
  <c r="K12" i="4"/>
  <c r="M12" i="4" s="1"/>
  <c r="M11" i="4"/>
  <c r="K11" i="4"/>
  <c r="K10" i="4"/>
  <c r="M10" i="4" s="1"/>
  <c r="K9" i="4"/>
  <c r="M9" i="4" s="1"/>
  <c r="K8" i="4"/>
  <c r="M8" i="4" s="1"/>
  <c r="K7" i="4"/>
  <c r="K6" i="4"/>
  <c r="K5" i="4"/>
  <c r="M5" i="4" s="1"/>
  <c r="K4" i="4"/>
  <c r="M4" i="4" s="1"/>
</calcChain>
</file>

<file path=xl/sharedStrings.xml><?xml version="1.0" encoding="utf-8"?>
<sst xmlns="http://schemas.openxmlformats.org/spreadsheetml/2006/main" count="369" uniqueCount="93">
  <si>
    <t>SL. No</t>
  </si>
  <si>
    <t>Faculty Name</t>
  </si>
  <si>
    <t>Dr Dipen Bepari</t>
  </si>
  <si>
    <t>Dr. Anagha Uday Khiste</t>
  </si>
  <si>
    <t>Dr. Dheeraj Dubey</t>
  </si>
  <si>
    <t>Dr. Habila Basumatary</t>
  </si>
  <si>
    <t>Dr. Jatin Majithia</t>
  </si>
  <si>
    <t>Dr. Kaptan Singh</t>
  </si>
  <si>
    <t>Dr. KM Divya Chaturvedi</t>
  </si>
  <si>
    <t>Dr. Mahendra Yadav</t>
  </si>
  <si>
    <t>Dr. Mahesh Joshi</t>
  </si>
  <si>
    <t>Dr. Priyank Jain</t>
  </si>
  <si>
    <t>Dr. Sanga Chaki</t>
  </si>
  <si>
    <t>Dr. Shivangi Shukla</t>
  </si>
  <si>
    <t>Dr. Shrikant Salve</t>
  </si>
  <si>
    <t>Dr. Shubam Shukla</t>
  </si>
  <si>
    <t>Dr. Sumit Kumar Gupta</t>
  </si>
  <si>
    <t>Dr. Mohammad A Rahman</t>
  </si>
  <si>
    <t>Dr. Priyanka Joshi</t>
  </si>
  <si>
    <t>Dr. Sakshi Semwal</t>
  </si>
  <si>
    <t xml:space="preserve">Ms Anupama Arun </t>
  </si>
  <si>
    <t>Ms. Anu Priya</t>
  </si>
  <si>
    <t>Ms. Priya Jadhav</t>
  </si>
  <si>
    <t>Ms. Shamal Kashid</t>
  </si>
  <si>
    <t>Dr. Ashish Singh</t>
  </si>
  <si>
    <t>Mr. Yashdeep Singh</t>
  </si>
  <si>
    <t>Dr. Sohini Gayen</t>
  </si>
  <si>
    <t>Dr. Tushar Prakash Gawande</t>
  </si>
  <si>
    <t>Mr. Manish Kumar</t>
  </si>
  <si>
    <t>Dr. Bhupendra Singh</t>
  </si>
  <si>
    <t>Ms. Sabah Tazeen</t>
  </si>
  <si>
    <t xml:space="preserve"> </t>
  </si>
  <si>
    <t>Total</t>
  </si>
  <si>
    <t>End Sem</t>
  </si>
  <si>
    <t>Previous</t>
  </si>
  <si>
    <t>X</t>
  </si>
  <si>
    <t>x</t>
  </si>
  <si>
    <t>SD</t>
  </si>
  <si>
    <t>Dr Sushant Kumar</t>
  </si>
  <si>
    <t>Dr. Sanjeev Sharma</t>
  </si>
  <si>
    <t>Dr. Chandrakant N Guled</t>
  </si>
  <si>
    <t>Dr. Sonam Maurya</t>
  </si>
  <si>
    <t>LH1-B1</t>
  </si>
  <si>
    <t>LH1-B2</t>
  </si>
  <si>
    <t>LH2-B1</t>
  </si>
  <si>
    <t>LH2-B2</t>
  </si>
  <si>
    <t>LH3-B1</t>
  </si>
  <si>
    <t>LH3-B2</t>
  </si>
  <si>
    <t>LH5-B1</t>
  </si>
  <si>
    <t>LH5-B2</t>
  </si>
  <si>
    <t>LH6-B1</t>
  </si>
  <si>
    <t>LH6-B2</t>
  </si>
  <si>
    <t>LH7-B1</t>
  </si>
  <si>
    <t>LH7-B2</t>
  </si>
  <si>
    <t>LH8-B1</t>
  </si>
  <si>
    <t>LH8-B2</t>
  </si>
  <si>
    <t>CR4</t>
  </si>
  <si>
    <t>CR5</t>
  </si>
  <si>
    <t>CR6</t>
  </si>
  <si>
    <t>CR7</t>
  </si>
  <si>
    <t>CR8</t>
  </si>
  <si>
    <t>LH8</t>
  </si>
  <si>
    <t>LH1</t>
  </si>
  <si>
    <t>LH2</t>
  </si>
  <si>
    <t>LH3</t>
  </si>
  <si>
    <t>LH5</t>
  </si>
  <si>
    <t>LH6</t>
  </si>
  <si>
    <t>LH7</t>
  </si>
  <si>
    <t xml:space="preserve">Hon. </t>
  </si>
  <si>
    <t>Academic Year: 2025-26 (Even), Course: B-Tech. M-Tech and Honors</t>
  </si>
  <si>
    <t>Time: 10:00 AM -- 1:00 PM</t>
  </si>
  <si>
    <t>Hon. -Honors exam duty: Classroom will be declared on the day of the exam.</t>
  </si>
  <si>
    <t>SD: Squad Duty</t>
  </si>
  <si>
    <t xml:space="preserve">End-Semester Invigilation and Squad Duty Chart </t>
  </si>
  <si>
    <t>Repoeting Time</t>
  </si>
  <si>
    <t>Signature</t>
  </si>
  <si>
    <r>
      <t> </t>
    </r>
    <r>
      <rPr>
        <b/>
        <sz val="14"/>
        <color rgb="FF333333"/>
        <rFont val="Times New Roman"/>
        <family val="1"/>
      </rPr>
      <t>Indian Institutes of Information Technology Pune</t>
    </r>
  </si>
  <si>
    <t xml:space="preserve">Mid-Term Invigilation Duty Chart </t>
  </si>
  <si>
    <t>Academic Year: 2025-26 (Even), Course: B-Tech,  M-Tech and Honors</t>
  </si>
  <si>
    <t xml:space="preserve"> FN: 10:00 AM -- 11:30 AM </t>
  </si>
  <si>
    <t>AN: 03:00 PM -- 4:30PM</t>
  </si>
  <si>
    <t xml:space="preserve">Research Scholar </t>
  </si>
  <si>
    <t>FN</t>
  </si>
  <si>
    <t>AN</t>
  </si>
  <si>
    <t>Ashish Kumar</t>
  </si>
  <si>
    <t>Dnyaneshwari Dilip Dhawad</t>
  </si>
  <si>
    <t>Saloni Jain</t>
  </si>
  <si>
    <t>Chingrace Guite</t>
  </si>
  <si>
    <t>Priyanca Primas Gonsalves</t>
  </si>
  <si>
    <t>Saurav Nagnath Dabhade</t>
  </si>
  <si>
    <t xml:space="preserve"> Name</t>
  </si>
  <si>
    <t>`</t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</si>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</sst>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sz val="14"/>
      <color rgb="FF333333"/>
      <name val="Times New Roman"/>
      <family val="1"/>
    </font>
    <font>
      <b/>
      <sz val="14"/>
      <color rgb="FF333333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/>
    <xf numFmtId="0" fontId="1" fillId="0" borderId="2" xfId="0" applyFont="1" applyFill="1" applyBorder="1"/>
    <xf numFmtId="0" fontId="1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center" vertical="center"/>
    </xf>
    <xf numFmtId="0" fontId="1" fillId="0" borderId="9" xfId="0" applyFont="1" applyFill="1" applyBorder="1"/>
    <xf numFmtId="0" fontId="3" fillId="2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2" fillId="0" borderId="0" xfId="0" applyFont="1" applyFill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6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/>
    </xf>
    <xf numFmtId="16" fontId="11" fillId="7" borderId="2" xfId="0" applyNumberFormat="1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6" fillId="3" borderId="0" xfId="0" applyFont="1" applyFill="1" applyAlignment="1">
      <alignment horizontal="center" vertical="center"/>
    </xf>
    <xf numFmtId="17" fontId="6" fillId="3" borderId="0" xfId="0" applyNumberFormat="1" applyFont="1" applyFill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16" fontId="2" fillId="2" borderId="15" xfId="0" applyNumberFormat="1" applyFont="1" applyFill="1" applyBorder="1" applyAlignment="1">
      <alignment horizontal="center" vertical="center"/>
    </xf>
    <xf numFmtId="16" fontId="2" fillId="2" borderId="16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6" fontId="2" fillId="2" borderId="11" xfId="0" applyNumberFormat="1" applyFont="1" applyFill="1" applyBorder="1" applyAlignment="1">
      <alignment horizontal="center" vertical="center" wrapText="1"/>
    </xf>
    <xf numFmtId="16" fontId="2" fillId="2" borderId="12" xfId="0" applyNumberFormat="1" applyFont="1" applyFill="1" applyBorder="1" applyAlignment="1">
      <alignment horizontal="center" vertical="center" wrapText="1"/>
    </xf>
    <xf numFmtId="16" fontId="2" fillId="2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2" fillId="2" borderId="4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64" fontId="2" fillId="2" borderId="12" xfId="0" applyNumberFormat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 wrapText="1"/>
    </xf>
    <xf numFmtId="16" fontId="11" fillId="7" borderId="2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7" fontId="6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B34" sqref="B34"/>
    </sheetView>
  </sheetViews>
  <sheetFormatPr defaultRowHeight="15" x14ac:dyDescent="0.25"/>
  <cols>
    <col min="1" max="1" width="7.5703125" style="3" customWidth="1"/>
    <col min="2" max="2" width="27.42578125" style="3" customWidth="1"/>
    <col min="3" max="4" width="10.7109375" style="4" customWidth="1"/>
    <col min="5" max="5" width="10.42578125" style="4" customWidth="1"/>
    <col min="6" max="6" width="11.7109375" style="1" customWidth="1"/>
    <col min="7" max="7" width="10" style="1" customWidth="1"/>
    <col min="8" max="8" width="9.28515625" style="4" customWidth="1"/>
    <col min="9" max="10" width="9.140625" style="4"/>
    <col min="11" max="16384" width="9.140625" style="3"/>
  </cols>
  <sheetData>
    <row r="1" spans="1:10" customFormat="1" ht="18" customHeight="1" x14ac:dyDescent="0.25">
      <c r="B1" s="49" t="s">
        <v>73</v>
      </c>
      <c r="C1" s="49"/>
      <c r="D1" s="49"/>
      <c r="E1" s="49"/>
      <c r="F1" s="49"/>
      <c r="G1" s="49"/>
      <c r="H1" s="49"/>
      <c r="I1" s="49"/>
      <c r="J1" s="49"/>
    </row>
    <row r="2" spans="1:10" customFormat="1" ht="18" customHeight="1" x14ac:dyDescent="0.25">
      <c r="B2" s="50" t="s">
        <v>69</v>
      </c>
      <c r="C2" s="50"/>
      <c r="D2" s="50"/>
      <c r="E2" s="50"/>
      <c r="F2" s="50"/>
      <c r="G2" s="50"/>
      <c r="H2" s="50"/>
      <c r="I2" s="50"/>
      <c r="J2" s="50"/>
    </row>
    <row r="3" spans="1:10" customFormat="1" ht="18" customHeight="1" x14ac:dyDescent="0.25">
      <c r="B3" s="51" t="s">
        <v>70</v>
      </c>
      <c r="C3" s="51"/>
      <c r="D3" s="51"/>
      <c r="E3" s="51"/>
      <c r="F3" s="51"/>
      <c r="G3" s="51"/>
      <c r="H3" s="51"/>
      <c r="I3" s="51"/>
      <c r="J3" s="51"/>
    </row>
    <row r="4" spans="1:10" customFormat="1" ht="18" customHeight="1" thickBot="1" x14ac:dyDescent="0.3">
      <c r="B4" s="25"/>
      <c r="C4" s="25"/>
      <c r="D4" s="25"/>
      <c r="E4" s="25"/>
      <c r="F4" s="25"/>
      <c r="G4" s="25"/>
      <c r="H4" s="25"/>
      <c r="I4" s="25"/>
      <c r="J4" s="25"/>
    </row>
    <row r="5" spans="1:10" ht="18" customHeight="1" x14ac:dyDescent="0.25">
      <c r="A5" s="55" t="s">
        <v>0</v>
      </c>
      <c r="B5" s="57" t="s">
        <v>1</v>
      </c>
      <c r="C5" s="59">
        <v>46156</v>
      </c>
      <c r="D5" s="59">
        <v>46157</v>
      </c>
      <c r="E5" s="59">
        <v>46160</v>
      </c>
      <c r="F5" s="59">
        <v>46161</v>
      </c>
      <c r="G5" s="59">
        <v>46162</v>
      </c>
      <c r="H5" s="59">
        <v>46163</v>
      </c>
      <c r="I5" s="59">
        <v>46164</v>
      </c>
      <c r="J5" s="53">
        <v>46167</v>
      </c>
    </row>
    <row r="6" spans="1:10" ht="18" customHeight="1" x14ac:dyDescent="0.25">
      <c r="A6" s="56"/>
      <c r="B6" s="58"/>
      <c r="C6" s="60"/>
      <c r="D6" s="60"/>
      <c r="E6" s="60"/>
      <c r="F6" s="60"/>
      <c r="G6" s="60"/>
      <c r="H6" s="60"/>
      <c r="I6" s="60"/>
      <c r="J6" s="54"/>
    </row>
    <row r="7" spans="1:10" ht="20.100000000000001" customHeight="1" x14ac:dyDescent="0.25">
      <c r="A7" s="6">
        <v>1</v>
      </c>
      <c r="B7" s="7" t="s">
        <v>38</v>
      </c>
      <c r="C7" s="26"/>
      <c r="D7" s="32" t="s">
        <v>50</v>
      </c>
      <c r="E7" s="28" t="s">
        <v>37</v>
      </c>
      <c r="F7" s="8"/>
      <c r="G7" s="27" t="s">
        <v>42</v>
      </c>
      <c r="H7" s="8" t="s">
        <v>31</v>
      </c>
      <c r="I7" s="26"/>
      <c r="J7" s="23"/>
    </row>
    <row r="8" spans="1:10" ht="20.100000000000001" customHeight="1" x14ac:dyDescent="0.25">
      <c r="A8" s="6">
        <v>2</v>
      </c>
      <c r="B8" s="7" t="s">
        <v>39</v>
      </c>
      <c r="C8" s="26"/>
      <c r="D8" s="32" t="s">
        <v>51</v>
      </c>
      <c r="E8" s="28" t="s">
        <v>37</v>
      </c>
      <c r="F8" s="8"/>
      <c r="G8" s="27" t="s">
        <v>43</v>
      </c>
      <c r="H8" s="5"/>
      <c r="I8" s="26" t="s">
        <v>31</v>
      </c>
      <c r="J8" s="23"/>
    </row>
    <row r="9" spans="1:10" ht="20.100000000000001" customHeight="1" x14ac:dyDescent="0.25">
      <c r="A9" s="6">
        <v>3</v>
      </c>
      <c r="B9" s="7" t="s">
        <v>41</v>
      </c>
      <c r="C9" s="27" t="s">
        <v>42</v>
      </c>
      <c r="D9" s="32" t="s">
        <v>53</v>
      </c>
      <c r="E9" s="27" t="s">
        <v>42</v>
      </c>
      <c r="F9" s="9" t="s">
        <v>37</v>
      </c>
      <c r="G9" s="27" t="s">
        <v>44</v>
      </c>
      <c r="H9" s="9" t="s">
        <v>37</v>
      </c>
      <c r="I9" s="28" t="s">
        <v>37</v>
      </c>
      <c r="J9" s="23"/>
    </row>
    <row r="10" spans="1:10" ht="20.100000000000001" customHeight="1" x14ac:dyDescent="0.25">
      <c r="A10" s="6">
        <v>4</v>
      </c>
      <c r="B10" s="7" t="s">
        <v>40</v>
      </c>
      <c r="C10" s="28" t="s">
        <v>37</v>
      </c>
      <c r="D10" s="9" t="s">
        <v>37</v>
      </c>
      <c r="E10" s="28"/>
      <c r="F10" s="9" t="s">
        <v>37</v>
      </c>
      <c r="G10" s="28"/>
      <c r="H10" s="9" t="s">
        <v>37</v>
      </c>
      <c r="I10" s="28"/>
      <c r="J10" s="12" t="s">
        <v>37</v>
      </c>
    </row>
    <row r="11" spans="1:10" ht="20.100000000000001" customHeight="1" x14ac:dyDescent="0.25">
      <c r="A11" s="6">
        <v>5</v>
      </c>
      <c r="B11" s="13" t="s">
        <v>2</v>
      </c>
      <c r="C11" s="28" t="s">
        <v>37</v>
      </c>
      <c r="D11" s="9" t="s">
        <v>37</v>
      </c>
      <c r="E11" s="28"/>
      <c r="F11" s="9"/>
      <c r="G11" s="28" t="s">
        <v>37</v>
      </c>
      <c r="H11" s="9" t="s">
        <v>37</v>
      </c>
      <c r="I11" s="28" t="s">
        <v>37</v>
      </c>
      <c r="J11" s="12" t="s">
        <v>37</v>
      </c>
    </row>
    <row r="12" spans="1:10" ht="20.100000000000001" customHeight="1" x14ac:dyDescent="0.25">
      <c r="A12" s="6">
        <v>6</v>
      </c>
      <c r="B12" s="14" t="s">
        <v>3</v>
      </c>
      <c r="C12" s="28" t="s">
        <v>37</v>
      </c>
      <c r="D12" s="32" t="s">
        <v>54</v>
      </c>
      <c r="E12" s="27" t="s">
        <v>47</v>
      </c>
      <c r="F12" s="32" t="s">
        <v>60</v>
      </c>
      <c r="G12" s="28" t="s">
        <v>37</v>
      </c>
      <c r="I12" s="28"/>
      <c r="J12" s="23"/>
    </row>
    <row r="13" spans="1:10" ht="20.100000000000001" customHeight="1" x14ac:dyDescent="0.25">
      <c r="A13" s="6">
        <v>7</v>
      </c>
      <c r="B13" s="15" t="s">
        <v>29</v>
      </c>
      <c r="C13" s="27" t="s">
        <v>43</v>
      </c>
      <c r="D13" s="9"/>
      <c r="E13" s="27" t="s">
        <v>44</v>
      </c>
      <c r="F13" s="9" t="s">
        <v>37</v>
      </c>
      <c r="G13" s="28"/>
      <c r="H13" s="9"/>
      <c r="I13" s="28"/>
      <c r="J13" s="23"/>
    </row>
    <row r="14" spans="1:10" ht="20.100000000000001" customHeight="1" x14ac:dyDescent="0.25">
      <c r="A14" s="6">
        <v>8</v>
      </c>
      <c r="B14" s="14" t="s">
        <v>4</v>
      </c>
      <c r="C14" s="28"/>
      <c r="D14" s="9"/>
      <c r="E14" s="28"/>
      <c r="F14" s="32" t="s">
        <v>59</v>
      </c>
      <c r="G14" s="27" t="s">
        <v>45</v>
      </c>
      <c r="H14" s="32" t="s">
        <v>43</v>
      </c>
      <c r="I14" s="27" t="s">
        <v>62</v>
      </c>
      <c r="J14" s="23"/>
    </row>
    <row r="15" spans="1:10" ht="20.100000000000001" customHeight="1" x14ac:dyDescent="0.25">
      <c r="A15" s="6">
        <v>9</v>
      </c>
      <c r="B15" s="14" t="s">
        <v>5</v>
      </c>
      <c r="C15" s="27" t="s">
        <v>44</v>
      </c>
      <c r="D15" s="9" t="s">
        <v>37</v>
      </c>
      <c r="E15" s="28" t="s">
        <v>37</v>
      </c>
      <c r="F15" s="9"/>
      <c r="G15" s="27" t="s">
        <v>46</v>
      </c>
      <c r="H15" s="32" t="s">
        <v>44</v>
      </c>
      <c r="I15" s="28"/>
      <c r="J15" s="23"/>
    </row>
    <row r="16" spans="1:10" ht="20.100000000000001" customHeight="1" x14ac:dyDescent="0.25">
      <c r="A16" s="6">
        <v>10</v>
      </c>
      <c r="B16" s="13" t="s">
        <v>6</v>
      </c>
      <c r="C16" s="28"/>
      <c r="D16" s="9"/>
      <c r="E16" s="28"/>
      <c r="F16" s="9"/>
      <c r="G16" s="28" t="s">
        <v>37</v>
      </c>
      <c r="H16" s="32" t="s">
        <v>45</v>
      </c>
      <c r="I16" s="27" t="s">
        <v>63</v>
      </c>
      <c r="J16" s="23"/>
    </row>
    <row r="17" spans="1:10" ht="20.100000000000001" customHeight="1" x14ac:dyDescent="0.25">
      <c r="A17" s="6">
        <v>11</v>
      </c>
      <c r="B17" s="14" t="s">
        <v>7</v>
      </c>
      <c r="C17" s="28"/>
      <c r="D17" s="9"/>
      <c r="E17" s="27" t="s">
        <v>59</v>
      </c>
      <c r="F17" s="32" t="s">
        <v>58</v>
      </c>
      <c r="G17" s="27" t="s">
        <v>47</v>
      </c>
      <c r="H17" s="9"/>
      <c r="I17" s="28"/>
      <c r="J17" s="23" t="s">
        <v>68</v>
      </c>
    </row>
    <row r="18" spans="1:10" ht="20.100000000000001" customHeight="1" x14ac:dyDescent="0.25">
      <c r="A18" s="6">
        <v>12</v>
      </c>
      <c r="B18" s="14" t="s">
        <v>8</v>
      </c>
      <c r="C18" s="28" t="s">
        <v>37</v>
      </c>
      <c r="D18" s="5"/>
      <c r="E18" s="27" t="s">
        <v>60</v>
      </c>
      <c r="F18" s="9" t="s">
        <v>37</v>
      </c>
      <c r="G18" s="27" t="s">
        <v>48</v>
      </c>
      <c r="H18" s="32" t="s">
        <v>46</v>
      </c>
      <c r="I18" s="28"/>
      <c r="J18" s="23"/>
    </row>
    <row r="19" spans="1:10" ht="20.100000000000001" customHeight="1" x14ac:dyDescent="0.25">
      <c r="A19" s="6">
        <v>13</v>
      </c>
      <c r="B19" s="13" t="s">
        <v>9</v>
      </c>
      <c r="C19" s="27" t="s">
        <v>45</v>
      </c>
      <c r="D19" s="32" t="s">
        <v>60</v>
      </c>
      <c r="E19" s="28" t="s">
        <v>31</v>
      </c>
      <c r="F19" s="32" t="s">
        <v>57</v>
      </c>
      <c r="G19" s="27" t="s">
        <v>49</v>
      </c>
      <c r="H19" s="9"/>
      <c r="I19" s="28"/>
      <c r="J19" s="23"/>
    </row>
    <row r="20" spans="1:10" ht="20.100000000000001" customHeight="1" x14ac:dyDescent="0.25">
      <c r="A20" s="6">
        <v>14</v>
      </c>
      <c r="B20" s="14" t="s">
        <v>10</v>
      </c>
      <c r="C20" s="27" t="s">
        <v>46</v>
      </c>
      <c r="D20" s="32" t="s">
        <v>42</v>
      </c>
      <c r="E20" s="28"/>
      <c r="F20" s="9"/>
      <c r="G20" s="27" t="s">
        <v>50</v>
      </c>
      <c r="H20" s="32" t="s">
        <v>42</v>
      </c>
      <c r="I20" s="28"/>
      <c r="J20" s="23"/>
    </row>
    <row r="21" spans="1:10" ht="20.100000000000001" customHeight="1" x14ac:dyDescent="0.25">
      <c r="A21" s="6">
        <v>15</v>
      </c>
      <c r="B21" s="13" t="s">
        <v>11</v>
      </c>
      <c r="C21" s="27" t="s">
        <v>47</v>
      </c>
      <c r="D21" s="9"/>
      <c r="E21" s="27" t="s">
        <v>48</v>
      </c>
      <c r="F21" s="9"/>
      <c r="G21" s="27" t="s">
        <v>51</v>
      </c>
      <c r="H21" s="32" t="s">
        <v>47</v>
      </c>
      <c r="I21" s="28"/>
      <c r="J21" s="23"/>
    </row>
    <row r="22" spans="1:10" ht="20.100000000000001" customHeight="1" x14ac:dyDescent="0.25">
      <c r="A22" s="6">
        <v>16</v>
      </c>
      <c r="B22" s="14" t="s">
        <v>12</v>
      </c>
      <c r="C22" s="27" t="s">
        <v>48</v>
      </c>
      <c r="D22" s="9" t="s">
        <v>37</v>
      </c>
      <c r="E22" s="28"/>
      <c r="F22" s="32" t="s">
        <v>55</v>
      </c>
      <c r="G22" s="28" t="s">
        <v>37</v>
      </c>
      <c r="H22" s="32" t="s">
        <v>48</v>
      </c>
      <c r="I22" s="29"/>
      <c r="J22" s="12"/>
    </row>
    <row r="23" spans="1:10" ht="20.100000000000001" customHeight="1" x14ac:dyDescent="0.25">
      <c r="A23" s="6">
        <v>17</v>
      </c>
      <c r="B23" s="14" t="s">
        <v>13</v>
      </c>
      <c r="C23" s="27" t="s">
        <v>58</v>
      </c>
      <c r="D23" s="32" t="s">
        <v>56</v>
      </c>
      <c r="E23" s="28" t="s">
        <v>37</v>
      </c>
      <c r="F23" s="32" t="s">
        <v>56</v>
      </c>
      <c r="G23" s="30"/>
      <c r="H23" s="9" t="s">
        <v>37</v>
      </c>
      <c r="I23" s="28"/>
      <c r="J23" s="23"/>
    </row>
    <row r="24" spans="1:10" ht="20.100000000000001" customHeight="1" x14ac:dyDescent="0.25">
      <c r="A24" s="6">
        <v>18</v>
      </c>
      <c r="B24" s="16" t="s">
        <v>14</v>
      </c>
      <c r="C24" s="28" t="s">
        <v>31</v>
      </c>
      <c r="D24" s="32" t="s">
        <v>57</v>
      </c>
      <c r="E24" s="27" t="s">
        <v>55</v>
      </c>
      <c r="F24" s="9"/>
      <c r="G24" s="27" t="s">
        <v>52</v>
      </c>
      <c r="H24" s="32" t="s">
        <v>49</v>
      </c>
      <c r="I24" s="28"/>
      <c r="J24" s="23"/>
    </row>
    <row r="25" spans="1:10" ht="20.100000000000001" customHeight="1" x14ac:dyDescent="0.25">
      <c r="A25" s="6">
        <v>19</v>
      </c>
      <c r="B25" s="13" t="s">
        <v>15</v>
      </c>
      <c r="C25" s="27" t="s">
        <v>50</v>
      </c>
      <c r="D25" s="32" t="s">
        <v>58</v>
      </c>
      <c r="E25" s="38" t="s">
        <v>57</v>
      </c>
      <c r="F25" s="9"/>
      <c r="G25" s="37"/>
      <c r="H25" s="32" t="s">
        <v>50</v>
      </c>
      <c r="I25" s="28"/>
      <c r="J25" s="23"/>
    </row>
    <row r="26" spans="1:10" ht="20.100000000000001" customHeight="1" x14ac:dyDescent="0.25">
      <c r="A26" s="6">
        <v>20</v>
      </c>
      <c r="B26" s="14" t="s">
        <v>16</v>
      </c>
      <c r="C26" s="27" t="s">
        <v>59</v>
      </c>
      <c r="D26" s="32" t="s">
        <v>59</v>
      </c>
      <c r="E26" s="27" t="s">
        <v>51</v>
      </c>
      <c r="F26" s="32" t="s">
        <v>48</v>
      </c>
      <c r="G26" s="28"/>
      <c r="H26" s="9"/>
      <c r="I26" s="28"/>
      <c r="J26" s="23"/>
    </row>
    <row r="27" spans="1:10" ht="20.100000000000001" customHeight="1" x14ac:dyDescent="0.25">
      <c r="A27" s="6">
        <v>21</v>
      </c>
      <c r="B27" s="13" t="s">
        <v>17</v>
      </c>
      <c r="C27" s="27" t="s">
        <v>52</v>
      </c>
      <c r="D27" s="9"/>
      <c r="E27" s="27" t="s">
        <v>52</v>
      </c>
      <c r="F27" s="32" t="s">
        <v>49</v>
      </c>
      <c r="G27" s="27" t="s">
        <v>54</v>
      </c>
      <c r="H27" s="9"/>
      <c r="I27" s="27" t="s">
        <v>64</v>
      </c>
      <c r="J27" s="23"/>
    </row>
    <row r="28" spans="1:10" ht="20.100000000000001" customHeight="1" x14ac:dyDescent="0.25">
      <c r="A28" s="6">
        <v>22</v>
      </c>
      <c r="B28" s="15" t="s">
        <v>18</v>
      </c>
      <c r="C28" s="38" t="s">
        <v>57</v>
      </c>
      <c r="E28" s="27" t="s">
        <v>53</v>
      </c>
      <c r="F28" s="32" t="s">
        <v>50</v>
      </c>
      <c r="G28" s="28" t="s">
        <v>31</v>
      </c>
      <c r="H28" s="32" t="s">
        <v>51</v>
      </c>
      <c r="I28" s="27" t="s">
        <v>65</v>
      </c>
      <c r="J28" s="23"/>
    </row>
    <row r="29" spans="1:10" ht="20.100000000000001" customHeight="1" x14ac:dyDescent="0.25">
      <c r="A29" s="6">
        <v>23</v>
      </c>
      <c r="B29" s="14" t="s">
        <v>19</v>
      </c>
      <c r="C29" s="27" t="s">
        <v>53</v>
      </c>
      <c r="D29" s="32" t="s">
        <v>43</v>
      </c>
      <c r="E29" s="27" t="s">
        <v>54</v>
      </c>
      <c r="F29" s="32" t="s">
        <v>51</v>
      </c>
      <c r="G29" s="28" t="s">
        <v>31</v>
      </c>
      <c r="H29" s="32" t="s">
        <v>52</v>
      </c>
      <c r="I29" s="28"/>
      <c r="J29" s="23"/>
    </row>
    <row r="30" spans="1:10" ht="20.100000000000001" customHeight="1" x14ac:dyDescent="0.25">
      <c r="A30" s="6">
        <v>24</v>
      </c>
      <c r="B30" s="14" t="s">
        <v>20</v>
      </c>
      <c r="C30" s="27" t="s">
        <v>54</v>
      </c>
      <c r="D30" s="32" t="s">
        <v>44</v>
      </c>
      <c r="E30" s="28"/>
      <c r="F30" s="32" t="s">
        <v>52</v>
      </c>
      <c r="G30" s="28"/>
      <c r="H30" s="32" t="s">
        <v>53</v>
      </c>
      <c r="I30" s="28"/>
      <c r="J30" s="23"/>
    </row>
    <row r="31" spans="1:10" ht="20.100000000000001" customHeight="1" x14ac:dyDescent="0.25">
      <c r="A31" s="6">
        <v>25</v>
      </c>
      <c r="B31" s="14" t="s">
        <v>21</v>
      </c>
      <c r="C31" s="28"/>
      <c r="D31" s="32" t="s">
        <v>45</v>
      </c>
      <c r="E31" s="27" t="s">
        <v>58</v>
      </c>
      <c r="F31" s="32" t="s">
        <v>53</v>
      </c>
      <c r="G31" s="28"/>
      <c r="H31" s="32" t="s">
        <v>61</v>
      </c>
      <c r="I31" s="27" t="s">
        <v>66</v>
      </c>
      <c r="J31" s="23"/>
    </row>
    <row r="32" spans="1:10" ht="20.100000000000001" customHeight="1" x14ac:dyDescent="0.25">
      <c r="A32" s="6">
        <v>26</v>
      </c>
      <c r="B32" s="13" t="s">
        <v>22</v>
      </c>
      <c r="C32" s="27" t="s">
        <v>60</v>
      </c>
      <c r="D32" s="32" t="s">
        <v>47</v>
      </c>
      <c r="E32" s="28" t="s">
        <v>31</v>
      </c>
      <c r="F32" s="32" t="s">
        <v>54</v>
      </c>
      <c r="G32" s="27" t="s">
        <v>55</v>
      </c>
      <c r="H32" s="9"/>
      <c r="I32" s="27" t="s">
        <v>67</v>
      </c>
      <c r="J32" s="23"/>
    </row>
    <row r="33" spans="1:10" ht="20.100000000000001" customHeight="1" x14ac:dyDescent="0.25">
      <c r="A33" s="6">
        <v>27</v>
      </c>
      <c r="B33" s="16" t="s">
        <v>30</v>
      </c>
      <c r="C33" s="27" t="s">
        <v>56</v>
      </c>
      <c r="D33" s="32" t="s">
        <v>48</v>
      </c>
      <c r="E33" s="27" t="s">
        <v>56</v>
      </c>
      <c r="F33" s="9"/>
      <c r="G33" s="27" t="s">
        <v>56</v>
      </c>
      <c r="H33" s="9"/>
      <c r="I33" s="27" t="s">
        <v>61</v>
      </c>
      <c r="J33" s="23"/>
    </row>
    <row r="34" spans="1:10" ht="20.100000000000001" customHeight="1" x14ac:dyDescent="0.25">
      <c r="A34" s="6">
        <v>28</v>
      </c>
      <c r="B34" s="16" t="s">
        <v>23</v>
      </c>
      <c r="C34" s="39"/>
      <c r="D34" s="9"/>
      <c r="E34" s="39"/>
      <c r="F34" s="32" t="s">
        <v>42</v>
      </c>
      <c r="G34" s="38" t="s">
        <v>53</v>
      </c>
      <c r="H34" s="32" t="s">
        <v>56</v>
      </c>
      <c r="I34" s="27" t="s">
        <v>59</v>
      </c>
      <c r="J34" s="23" t="s">
        <v>68</v>
      </c>
    </row>
    <row r="35" spans="1:10" ht="20.100000000000001" customHeight="1" x14ac:dyDescent="0.25">
      <c r="A35" s="6">
        <v>29</v>
      </c>
      <c r="B35" s="16" t="s">
        <v>24</v>
      </c>
      <c r="C35" s="31" t="s">
        <v>31</v>
      </c>
      <c r="D35" s="32" t="s">
        <v>46</v>
      </c>
      <c r="E35" s="27" t="s">
        <v>43</v>
      </c>
      <c r="F35" s="32" t="s">
        <v>43</v>
      </c>
      <c r="G35" s="27" t="s">
        <v>57</v>
      </c>
      <c r="H35" s="32" t="s">
        <v>57</v>
      </c>
      <c r="I35" s="31"/>
      <c r="J35" s="23"/>
    </row>
    <row r="36" spans="1:10" ht="20.100000000000001" customHeight="1" x14ac:dyDescent="0.25">
      <c r="A36" s="6">
        <v>30</v>
      </c>
      <c r="B36" s="16" t="s">
        <v>25</v>
      </c>
      <c r="C36" s="27" t="s">
        <v>51</v>
      </c>
      <c r="D36" s="32" t="s">
        <v>49</v>
      </c>
      <c r="E36" s="27" t="s">
        <v>45</v>
      </c>
      <c r="F36" s="32" t="s">
        <v>44</v>
      </c>
      <c r="G36" s="31"/>
      <c r="H36" s="32" t="s">
        <v>58</v>
      </c>
      <c r="I36" s="31"/>
      <c r="J36" s="23"/>
    </row>
    <row r="37" spans="1:10" ht="19.5" customHeight="1" x14ac:dyDescent="0.25">
      <c r="A37" s="6">
        <v>31</v>
      </c>
      <c r="B37" s="16" t="s">
        <v>26</v>
      </c>
      <c r="C37" s="31" t="s">
        <v>31</v>
      </c>
      <c r="D37" s="32" t="s">
        <v>52</v>
      </c>
      <c r="E37" s="27" t="s">
        <v>46</v>
      </c>
      <c r="F37" s="32" t="s">
        <v>45</v>
      </c>
      <c r="G37" s="27" t="s">
        <v>58</v>
      </c>
      <c r="H37" s="32" t="s">
        <v>59</v>
      </c>
      <c r="I37" s="31"/>
      <c r="J37" s="23"/>
    </row>
    <row r="38" spans="1:10" ht="20.100000000000001" customHeight="1" x14ac:dyDescent="0.25">
      <c r="A38" s="6">
        <v>32</v>
      </c>
      <c r="B38" s="16" t="s">
        <v>27</v>
      </c>
      <c r="C38" s="27" t="s">
        <v>55</v>
      </c>
      <c r="D38" s="17" t="s">
        <v>31</v>
      </c>
      <c r="E38" s="27" t="s">
        <v>49</v>
      </c>
      <c r="F38" s="32" t="s">
        <v>46</v>
      </c>
      <c r="G38" s="27" t="s">
        <v>59</v>
      </c>
      <c r="H38" s="32" t="s">
        <v>60</v>
      </c>
      <c r="I38" s="31"/>
      <c r="J38" s="23"/>
    </row>
    <row r="39" spans="1:10" ht="20.100000000000001" customHeight="1" thickBot="1" x14ac:dyDescent="0.3">
      <c r="A39" s="18">
        <v>33</v>
      </c>
      <c r="B39" s="19" t="s">
        <v>28</v>
      </c>
      <c r="C39" s="27" t="s">
        <v>49</v>
      </c>
      <c r="D39" s="32" t="s">
        <v>55</v>
      </c>
      <c r="E39" s="27" t="s">
        <v>50</v>
      </c>
      <c r="F39" s="32" t="s">
        <v>47</v>
      </c>
      <c r="G39" s="27" t="s">
        <v>60</v>
      </c>
      <c r="H39" s="20"/>
      <c r="I39" s="27" t="s">
        <v>60</v>
      </c>
      <c r="J39" s="24"/>
    </row>
    <row r="41" spans="1:10" x14ac:dyDescent="0.25">
      <c r="B41" s="33" t="s">
        <v>72</v>
      </c>
    </row>
    <row r="42" spans="1:10" ht="16.5" x14ac:dyDescent="0.25">
      <c r="B42" s="52" t="s">
        <v>71</v>
      </c>
      <c r="C42" s="52"/>
      <c r="D42" s="52"/>
      <c r="E42" s="52"/>
      <c r="F42" s="52"/>
      <c r="G42" s="52"/>
      <c r="H42" s="52"/>
      <c r="I42" s="52"/>
      <c r="J42" s="52"/>
    </row>
  </sheetData>
  <mergeCells count="14">
    <mergeCell ref="A5:A6"/>
    <mergeCell ref="B5:B6"/>
    <mergeCell ref="I5:I6"/>
    <mergeCell ref="C5:C6"/>
    <mergeCell ref="D5:D6"/>
    <mergeCell ref="E5:E6"/>
    <mergeCell ref="H5:H6"/>
    <mergeCell ref="F5:F6"/>
    <mergeCell ref="G5:G6"/>
    <mergeCell ref="B1:J1"/>
    <mergeCell ref="B2:J2"/>
    <mergeCell ref="B3:J3"/>
    <mergeCell ref="B42:J42"/>
    <mergeCell ref="J5:J6"/>
  </mergeCells>
  <pageMargins left="0.7" right="0.7" top="0.2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>
      <selection activeCell="H39" sqref="H39"/>
    </sheetView>
  </sheetViews>
  <sheetFormatPr defaultRowHeight="15" x14ac:dyDescent="0.25"/>
  <cols>
    <col min="1" max="1" width="8.28515625" style="3" bestFit="1" customWidth="1"/>
    <col min="2" max="2" width="27.42578125" style="3" customWidth="1"/>
    <col min="3" max="3" width="10.28515625" style="3" bestFit="1" customWidth="1"/>
    <col min="4" max="4" width="9.140625" style="3"/>
    <col min="5" max="5" width="8.5703125" style="3" bestFit="1" customWidth="1"/>
    <col min="6" max="6" width="11.28515625" style="1" customWidth="1"/>
    <col min="7" max="7" width="9.140625" style="2"/>
    <col min="8" max="8" width="9.28515625" style="3" customWidth="1"/>
    <col min="9" max="10" width="9.140625" style="3"/>
    <col min="11" max="11" width="9.140625" style="4"/>
    <col min="12" max="16384" width="9.140625" style="3"/>
  </cols>
  <sheetData>
    <row r="1" spans="1:17" ht="15.75" thickBot="1" x14ac:dyDescent="0.3"/>
    <row r="2" spans="1:17" ht="15.75" customHeight="1" x14ac:dyDescent="0.25">
      <c r="A2" s="66" t="s">
        <v>0</v>
      </c>
      <c r="B2" s="68" t="s">
        <v>1</v>
      </c>
      <c r="C2" s="61">
        <v>46156</v>
      </c>
      <c r="D2" s="61">
        <v>46157</v>
      </c>
      <c r="E2" s="61">
        <v>46160</v>
      </c>
      <c r="F2" s="61">
        <v>46161</v>
      </c>
      <c r="G2" s="61">
        <v>46162</v>
      </c>
      <c r="H2" s="61">
        <v>46163</v>
      </c>
      <c r="I2" s="61">
        <v>46164</v>
      </c>
      <c r="J2" s="63">
        <v>46167</v>
      </c>
      <c r="K2" s="65" t="s">
        <v>33</v>
      </c>
    </row>
    <row r="3" spans="1:17" ht="15" customHeight="1" x14ac:dyDescent="0.25">
      <c r="A3" s="67"/>
      <c r="B3" s="69"/>
      <c r="C3" s="62"/>
      <c r="D3" s="62"/>
      <c r="E3" s="62"/>
      <c r="F3" s="62"/>
      <c r="G3" s="62"/>
      <c r="H3" s="62"/>
      <c r="I3" s="62"/>
      <c r="J3" s="64"/>
      <c r="K3" s="65"/>
      <c r="L3" s="3" t="s">
        <v>34</v>
      </c>
      <c r="M3" s="3" t="s">
        <v>32</v>
      </c>
    </row>
    <row r="4" spans="1:17" ht="15" customHeight="1" x14ac:dyDescent="0.25">
      <c r="A4" s="6">
        <v>1</v>
      </c>
      <c r="B4" s="7" t="s">
        <v>38</v>
      </c>
      <c r="C4" s="8"/>
      <c r="D4" s="8">
        <v>1</v>
      </c>
      <c r="E4" s="9" t="s">
        <v>37</v>
      </c>
      <c r="F4" s="8"/>
      <c r="G4" s="8">
        <v>1</v>
      </c>
      <c r="H4" s="8" t="s">
        <v>31</v>
      </c>
      <c r="I4" s="8"/>
      <c r="J4" s="10"/>
      <c r="K4" s="4">
        <f t="shared" ref="K4:K7" si="0">SUM(C4:J4)</f>
        <v>2</v>
      </c>
      <c r="L4" s="3">
        <v>3</v>
      </c>
      <c r="M4" s="3">
        <f>SUM(K4*3,L4)</f>
        <v>9</v>
      </c>
    </row>
    <row r="5" spans="1:17" ht="15" customHeight="1" x14ac:dyDescent="0.25">
      <c r="A5" s="6">
        <v>2</v>
      </c>
      <c r="B5" s="7" t="s">
        <v>39</v>
      </c>
      <c r="C5" s="8"/>
      <c r="D5" s="8">
        <v>1</v>
      </c>
      <c r="E5" s="9" t="s">
        <v>37</v>
      </c>
      <c r="F5" s="8"/>
      <c r="G5" s="8">
        <v>1</v>
      </c>
      <c r="H5" s="11"/>
      <c r="I5" s="8" t="s">
        <v>31</v>
      </c>
      <c r="J5" s="10"/>
      <c r="K5" s="4">
        <f t="shared" si="0"/>
        <v>2</v>
      </c>
      <c r="L5" s="3">
        <v>3</v>
      </c>
      <c r="M5" s="3">
        <f t="shared" ref="M5" si="1">SUM(K5:L5)</f>
        <v>5</v>
      </c>
    </row>
    <row r="6" spans="1:17" ht="15" customHeight="1" x14ac:dyDescent="0.25">
      <c r="A6" s="6">
        <v>3</v>
      </c>
      <c r="B6" s="7" t="s">
        <v>41</v>
      </c>
      <c r="C6" s="9">
        <v>1</v>
      </c>
      <c r="D6" s="8">
        <v>1</v>
      </c>
      <c r="E6" s="9">
        <v>1</v>
      </c>
      <c r="F6" s="9" t="s">
        <v>37</v>
      </c>
      <c r="G6" s="9">
        <v>1</v>
      </c>
      <c r="H6" s="9" t="s">
        <v>37</v>
      </c>
      <c r="I6" s="9" t="s">
        <v>37</v>
      </c>
      <c r="J6" s="10"/>
      <c r="K6" s="4">
        <f t="shared" si="0"/>
        <v>4</v>
      </c>
    </row>
    <row r="7" spans="1:17" ht="15" customHeight="1" x14ac:dyDescent="0.25">
      <c r="A7" s="6">
        <v>4</v>
      </c>
      <c r="B7" s="7" t="s">
        <v>40</v>
      </c>
      <c r="C7" s="9" t="s">
        <v>37</v>
      </c>
      <c r="D7" s="9" t="s">
        <v>37</v>
      </c>
      <c r="E7" s="9"/>
      <c r="F7" s="9" t="s">
        <v>37</v>
      </c>
      <c r="G7" s="9"/>
      <c r="H7" s="9" t="s">
        <v>37</v>
      </c>
      <c r="I7" s="9"/>
      <c r="J7" s="12" t="s">
        <v>37</v>
      </c>
      <c r="K7" s="4">
        <f t="shared" si="0"/>
        <v>0</v>
      </c>
      <c r="P7" s="3" t="s">
        <v>31</v>
      </c>
    </row>
    <row r="8" spans="1:17" x14ac:dyDescent="0.25">
      <c r="A8" s="6">
        <v>5</v>
      </c>
      <c r="B8" s="13" t="s">
        <v>2</v>
      </c>
      <c r="C8" s="9" t="s">
        <v>37</v>
      </c>
      <c r="D8" s="9" t="s">
        <v>37</v>
      </c>
      <c r="E8" s="9"/>
      <c r="F8" s="9"/>
      <c r="G8" s="9" t="s">
        <v>37</v>
      </c>
      <c r="H8" s="9" t="s">
        <v>37</v>
      </c>
      <c r="I8" s="9" t="s">
        <v>37</v>
      </c>
      <c r="J8" s="12" t="s">
        <v>37</v>
      </c>
      <c r="K8" s="4">
        <f>SUM(C8:J8)</f>
        <v>0</v>
      </c>
      <c r="L8" s="3">
        <v>10.5</v>
      </c>
      <c r="M8" s="3">
        <f>SUM(K8*3, L8)</f>
        <v>10.5</v>
      </c>
      <c r="O8" s="3" t="s">
        <v>31</v>
      </c>
    </row>
    <row r="9" spans="1:17" x14ac:dyDescent="0.25">
      <c r="A9" s="6">
        <v>6</v>
      </c>
      <c r="B9" s="14" t="s">
        <v>3</v>
      </c>
      <c r="C9" s="9" t="s">
        <v>37</v>
      </c>
      <c r="D9" s="9">
        <v>1</v>
      </c>
      <c r="E9" s="9"/>
      <c r="F9" s="9">
        <v>1</v>
      </c>
      <c r="G9" s="9" t="s">
        <v>37</v>
      </c>
      <c r="H9" s="9">
        <v>1</v>
      </c>
      <c r="I9" s="9"/>
      <c r="J9" s="10"/>
      <c r="K9" s="4">
        <f t="shared" ref="K9:K36" si="2">SUM(C9:J9)</f>
        <v>3</v>
      </c>
      <c r="L9" s="3">
        <v>31.5</v>
      </c>
      <c r="M9" s="3">
        <f t="shared" ref="M9:M36" si="3">SUM(K9*3, L9)</f>
        <v>40.5</v>
      </c>
      <c r="Q9" s="3" t="s">
        <v>31</v>
      </c>
    </row>
    <row r="10" spans="1:17" x14ac:dyDescent="0.25">
      <c r="A10" s="6">
        <v>7</v>
      </c>
      <c r="B10" s="15" t="s">
        <v>29</v>
      </c>
      <c r="C10" s="9">
        <v>1</v>
      </c>
      <c r="D10" s="9"/>
      <c r="E10" s="9">
        <v>1</v>
      </c>
      <c r="F10" s="9" t="s">
        <v>37</v>
      </c>
      <c r="G10" s="9"/>
      <c r="H10" s="9"/>
      <c r="I10" s="9"/>
      <c r="J10" s="10"/>
      <c r="K10" s="4">
        <f t="shared" si="2"/>
        <v>2</v>
      </c>
      <c r="L10" s="3">
        <v>18</v>
      </c>
      <c r="M10" s="3">
        <f t="shared" si="3"/>
        <v>24</v>
      </c>
      <c r="P10" s="3" t="s">
        <v>31</v>
      </c>
    </row>
    <row r="11" spans="1:17" x14ac:dyDescent="0.25">
      <c r="A11" s="6">
        <v>8</v>
      </c>
      <c r="B11" s="14" t="s">
        <v>4</v>
      </c>
      <c r="C11" s="9" t="s">
        <v>35</v>
      </c>
      <c r="D11" s="9" t="s">
        <v>35</v>
      </c>
      <c r="E11" s="9"/>
      <c r="F11" s="9">
        <v>1</v>
      </c>
      <c r="G11" s="9">
        <v>1</v>
      </c>
      <c r="H11" s="9">
        <v>1</v>
      </c>
      <c r="I11" s="9">
        <v>1</v>
      </c>
      <c r="J11" s="10"/>
      <c r="K11" s="4">
        <f t="shared" si="2"/>
        <v>4</v>
      </c>
      <c r="L11" s="3">
        <v>34.5</v>
      </c>
      <c r="M11" s="3">
        <f t="shared" si="3"/>
        <v>46.5</v>
      </c>
    </row>
    <row r="12" spans="1:17" x14ac:dyDescent="0.25">
      <c r="A12" s="6">
        <v>9</v>
      </c>
      <c r="B12" s="14" t="s">
        <v>5</v>
      </c>
      <c r="C12" s="9">
        <v>1</v>
      </c>
      <c r="D12" s="9" t="s">
        <v>37</v>
      </c>
      <c r="E12" s="9" t="s">
        <v>37</v>
      </c>
      <c r="F12" s="9"/>
      <c r="G12" s="9">
        <v>1</v>
      </c>
      <c r="H12" s="9">
        <v>1</v>
      </c>
      <c r="I12" s="9"/>
      <c r="J12" s="10"/>
      <c r="K12" s="4">
        <f t="shared" si="2"/>
        <v>3</v>
      </c>
      <c r="L12" s="3">
        <v>36</v>
      </c>
      <c r="M12" s="3">
        <f t="shared" si="3"/>
        <v>45</v>
      </c>
    </row>
    <row r="13" spans="1:17" x14ac:dyDescent="0.25">
      <c r="A13" s="6">
        <v>10</v>
      </c>
      <c r="B13" s="13" t="s">
        <v>6</v>
      </c>
      <c r="C13" s="9"/>
      <c r="D13" s="9"/>
      <c r="E13" s="9"/>
      <c r="F13" s="9"/>
      <c r="G13" s="9" t="s">
        <v>37</v>
      </c>
      <c r="H13" s="9">
        <v>1</v>
      </c>
      <c r="I13" s="9">
        <v>1</v>
      </c>
      <c r="J13" s="10"/>
      <c r="K13" s="4">
        <f t="shared" si="2"/>
        <v>2</v>
      </c>
      <c r="L13" s="3">
        <v>22.5</v>
      </c>
      <c r="M13" s="3">
        <f t="shared" si="3"/>
        <v>28.5</v>
      </c>
    </row>
    <row r="14" spans="1:17" x14ac:dyDescent="0.25">
      <c r="A14" s="6">
        <v>11</v>
      </c>
      <c r="B14" s="14" t="s">
        <v>7</v>
      </c>
      <c r="C14" s="9" t="s">
        <v>36</v>
      </c>
      <c r="D14" s="9" t="s">
        <v>36</v>
      </c>
      <c r="E14" s="9">
        <v>1</v>
      </c>
      <c r="F14" s="9">
        <v>1</v>
      </c>
      <c r="G14" s="9">
        <v>1</v>
      </c>
      <c r="H14" s="9" t="s">
        <v>36</v>
      </c>
      <c r="I14" s="9" t="s">
        <v>36</v>
      </c>
      <c r="J14" s="10">
        <v>1</v>
      </c>
      <c r="K14" s="4">
        <f t="shared" si="2"/>
        <v>4</v>
      </c>
      <c r="L14" s="3">
        <v>28.5</v>
      </c>
      <c r="M14" s="3">
        <f t="shared" si="3"/>
        <v>40.5</v>
      </c>
    </row>
    <row r="15" spans="1:17" x14ac:dyDescent="0.25">
      <c r="A15" s="6">
        <v>12</v>
      </c>
      <c r="B15" s="14" t="s">
        <v>8</v>
      </c>
      <c r="C15" s="9" t="s">
        <v>37</v>
      </c>
      <c r="D15" s="11"/>
      <c r="E15" s="9">
        <v>1</v>
      </c>
      <c r="F15" s="9" t="s">
        <v>37</v>
      </c>
      <c r="G15" s="9">
        <v>1</v>
      </c>
      <c r="H15" s="9">
        <v>1</v>
      </c>
      <c r="I15" s="9"/>
      <c r="J15" s="10"/>
      <c r="K15" s="4">
        <f t="shared" si="2"/>
        <v>3</v>
      </c>
      <c r="L15" s="3">
        <v>36</v>
      </c>
      <c r="M15" s="3">
        <f t="shared" si="3"/>
        <v>45</v>
      </c>
    </row>
    <row r="16" spans="1:17" x14ac:dyDescent="0.25">
      <c r="A16" s="6">
        <v>13</v>
      </c>
      <c r="B16" s="13" t="s">
        <v>9</v>
      </c>
      <c r="C16" s="9">
        <v>1</v>
      </c>
      <c r="D16" s="9">
        <v>1</v>
      </c>
      <c r="E16" s="9" t="s">
        <v>31</v>
      </c>
      <c r="F16" s="9">
        <v>1</v>
      </c>
      <c r="G16" s="9">
        <v>1</v>
      </c>
      <c r="H16" s="9"/>
      <c r="I16" s="9"/>
      <c r="J16" s="10"/>
      <c r="K16" s="4">
        <f t="shared" si="2"/>
        <v>4</v>
      </c>
      <c r="L16" s="3">
        <v>33</v>
      </c>
      <c r="M16" s="3">
        <f t="shared" si="3"/>
        <v>45</v>
      </c>
    </row>
    <row r="17" spans="1:13" x14ac:dyDescent="0.25">
      <c r="A17" s="6">
        <v>14</v>
      </c>
      <c r="B17" s="14" t="s">
        <v>10</v>
      </c>
      <c r="C17" s="9">
        <v>1</v>
      </c>
      <c r="D17" s="35">
        <v>1</v>
      </c>
      <c r="E17" s="9">
        <v>1</v>
      </c>
      <c r="F17" s="9"/>
      <c r="G17" s="9">
        <v>1</v>
      </c>
      <c r="H17" s="9"/>
      <c r="I17" s="9"/>
      <c r="J17" s="36"/>
      <c r="K17" s="4">
        <f t="shared" si="2"/>
        <v>4</v>
      </c>
      <c r="L17" s="3">
        <v>37.5</v>
      </c>
      <c r="M17" s="3">
        <f t="shared" si="3"/>
        <v>49.5</v>
      </c>
    </row>
    <row r="18" spans="1:13" x14ac:dyDescent="0.25">
      <c r="A18" s="6">
        <v>15</v>
      </c>
      <c r="B18" s="13" t="s">
        <v>11</v>
      </c>
      <c r="C18" s="9">
        <v>1</v>
      </c>
      <c r="D18" s="9"/>
      <c r="E18" s="9">
        <v>1</v>
      </c>
      <c r="F18" s="9"/>
      <c r="G18" s="9">
        <v>1</v>
      </c>
      <c r="H18" s="9">
        <v>1</v>
      </c>
      <c r="I18" s="9"/>
      <c r="J18" s="10"/>
      <c r="K18" s="4">
        <f t="shared" si="2"/>
        <v>4</v>
      </c>
      <c r="L18" s="3">
        <v>33</v>
      </c>
      <c r="M18" s="3">
        <f t="shared" si="3"/>
        <v>45</v>
      </c>
    </row>
    <row r="19" spans="1:13" x14ac:dyDescent="0.25">
      <c r="A19" s="6">
        <v>16</v>
      </c>
      <c r="B19" s="14" t="s">
        <v>12</v>
      </c>
      <c r="C19" s="9">
        <v>1</v>
      </c>
      <c r="D19" s="9" t="s">
        <v>37</v>
      </c>
      <c r="E19" s="9"/>
      <c r="F19" s="9">
        <v>1</v>
      </c>
      <c r="G19" s="9" t="s">
        <v>37</v>
      </c>
      <c r="H19" s="9">
        <v>1</v>
      </c>
      <c r="I19" s="11"/>
      <c r="J19" s="12"/>
      <c r="K19" s="4">
        <f>SUM(C19:J19)</f>
        <v>3</v>
      </c>
      <c r="L19" s="3">
        <v>36</v>
      </c>
      <c r="M19" s="3">
        <f t="shared" si="3"/>
        <v>45</v>
      </c>
    </row>
    <row r="20" spans="1:13" x14ac:dyDescent="0.25">
      <c r="A20" s="6">
        <v>17</v>
      </c>
      <c r="B20" s="14" t="s">
        <v>13</v>
      </c>
      <c r="C20" s="9">
        <v>1</v>
      </c>
      <c r="D20" s="9">
        <v>1</v>
      </c>
      <c r="E20" s="9" t="s">
        <v>37</v>
      </c>
      <c r="F20" s="9">
        <v>1</v>
      </c>
      <c r="H20" s="9" t="s">
        <v>37</v>
      </c>
      <c r="I20" s="9" t="s">
        <v>35</v>
      </c>
      <c r="J20" s="10"/>
      <c r="K20" s="4">
        <f t="shared" si="2"/>
        <v>3</v>
      </c>
      <c r="L20" s="3">
        <v>36</v>
      </c>
      <c r="M20" s="3">
        <f t="shared" si="3"/>
        <v>45</v>
      </c>
    </row>
    <row r="21" spans="1:13" x14ac:dyDescent="0.25">
      <c r="A21" s="6">
        <v>18</v>
      </c>
      <c r="B21" s="16" t="s">
        <v>14</v>
      </c>
      <c r="C21" s="9" t="s">
        <v>31</v>
      </c>
      <c r="D21" s="9">
        <v>1</v>
      </c>
      <c r="E21" s="9">
        <v>1</v>
      </c>
      <c r="F21" s="9"/>
      <c r="G21" s="9">
        <v>1</v>
      </c>
      <c r="H21" s="9">
        <v>1</v>
      </c>
      <c r="I21" s="9"/>
      <c r="J21" s="10"/>
      <c r="K21" s="4">
        <f t="shared" si="2"/>
        <v>4</v>
      </c>
      <c r="L21" s="3">
        <v>36</v>
      </c>
      <c r="M21" s="3">
        <f t="shared" si="3"/>
        <v>48</v>
      </c>
    </row>
    <row r="22" spans="1:13" x14ac:dyDescent="0.25">
      <c r="A22" s="6">
        <v>19</v>
      </c>
      <c r="B22" s="13" t="s">
        <v>15</v>
      </c>
      <c r="C22" s="9">
        <v>1</v>
      </c>
      <c r="D22" s="9">
        <v>1</v>
      </c>
      <c r="E22" s="35">
        <v>1</v>
      </c>
      <c r="F22" s="9"/>
      <c r="G22" s="35"/>
      <c r="H22" s="9">
        <v>1</v>
      </c>
      <c r="I22" s="9"/>
      <c r="J22" s="10"/>
      <c r="K22" s="4">
        <f t="shared" si="2"/>
        <v>4</v>
      </c>
      <c r="L22" s="3">
        <v>33</v>
      </c>
      <c r="M22" s="3">
        <f t="shared" si="3"/>
        <v>45</v>
      </c>
    </row>
    <row r="23" spans="1:13" x14ac:dyDescent="0.25">
      <c r="A23" s="6">
        <v>20</v>
      </c>
      <c r="B23" s="14" t="s">
        <v>16</v>
      </c>
      <c r="C23" s="9">
        <v>1</v>
      </c>
      <c r="D23" s="9">
        <v>1</v>
      </c>
      <c r="E23" s="9">
        <v>1</v>
      </c>
      <c r="F23" s="9">
        <v>1</v>
      </c>
      <c r="G23" s="9"/>
      <c r="H23" s="9"/>
      <c r="I23" s="9"/>
      <c r="J23" s="10"/>
      <c r="K23" s="4">
        <f t="shared" si="2"/>
        <v>4</v>
      </c>
      <c r="L23" s="3">
        <v>37.5</v>
      </c>
      <c r="M23" s="3">
        <f t="shared" si="3"/>
        <v>49.5</v>
      </c>
    </row>
    <row r="24" spans="1:13" x14ac:dyDescent="0.25">
      <c r="A24" s="6">
        <v>21</v>
      </c>
      <c r="B24" s="13" t="s">
        <v>17</v>
      </c>
      <c r="C24" s="9">
        <v>1</v>
      </c>
      <c r="D24" s="9"/>
      <c r="E24" s="9">
        <v>1</v>
      </c>
      <c r="F24" s="9">
        <v>1</v>
      </c>
      <c r="G24" s="9">
        <v>1</v>
      </c>
      <c r="H24" s="9"/>
      <c r="I24" s="9">
        <v>1</v>
      </c>
      <c r="J24" s="10"/>
      <c r="K24" s="4">
        <f t="shared" si="2"/>
        <v>5</v>
      </c>
      <c r="L24" s="3">
        <v>36</v>
      </c>
      <c r="M24" s="3">
        <f t="shared" si="3"/>
        <v>51</v>
      </c>
    </row>
    <row r="25" spans="1:13" x14ac:dyDescent="0.25">
      <c r="A25" s="6">
        <v>22</v>
      </c>
      <c r="B25" s="15" t="s">
        <v>18</v>
      </c>
      <c r="C25" s="35">
        <v>1</v>
      </c>
      <c r="D25" s="35"/>
      <c r="E25" s="9">
        <v>1</v>
      </c>
      <c r="F25" s="9">
        <v>1</v>
      </c>
      <c r="G25" s="9" t="s">
        <v>31</v>
      </c>
      <c r="H25" s="9">
        <v>1</v>
      </c>
      <c r="I25" s="9">
        <v>1</v>
      </c>
      <c r="J25" s="10"/>
      <c r="K25" s="4">
        <f t="shared" si="2"/>
        <v>5</v>
      </c>
      <c r="L25" s="3">
        <v>42</v>
      </c>
      <c r="M25" s="3">
        <f t="shared" si="3"/>
        <v>57</v>
      </c>
    </row>
    <row r="26" spans="1:13" x14ac:dyDescent="0.25">
      <c r="A26" s="6">
        <v>23</v>
      </c>
      <c r="B26" s="14" t="s">
        <v>19</v>
      </c>
      <c r="C26" s="9">
        <v>1</v>
      </c>
      <c r="D26" s="9">
        <v>1</v>
      </c>
      <c r="E26" s="9">
        <v>1</v>
      </c>
      <c r="F26" s="9">
        <v>1</v>
      </c>
      <c r="G26" s="9" t="s">
        <v>31</v>
      </c>
      <c r="H26" s="9">
        <v>1</v>
      </c>
      <c r="I26" s="9"/>
      <c r="J26" s="10"/>
      <c r="K26" s="4">
        <f t="shared" si="2"/>
        <v>5</v>
      </c>
      <c r="L26" s="3">
        <v>42</v>
      </c>
      <c r="M26" s="3">
        <f t="shared" si="3"/>
        <v>57</v>
      </c>
    </row>
    <row r="27" spans="1:13" x14ac:dyDescent="0.25">
      <c r="A27" s="6">
        <v>24</v>
      </c>
      <c r="B27" s="14" t="s">
        <v>20</v>
      </c>
      <c r="C27" s="9">
        <v>1</v>
      </c>
      <c r="D27" s="9">
        <v>1</v>
      </c>
      <c r="E27" s="9" t="s">
        <v>35</v>
      </c>
      <c r="F27" s="9">
        <v>1</v>
      </c>
      <c r="G27" s="9" t="s">
        <v>35</v>
      </c>
      <c r="H27" s="9">
        <v>1</v>
      </c>
      <c r="I27" s="9" t="s">
        <v>35</v>
      </c>
      <c r="J27" s="10"/>
      <c r="K27" s="4">
        <f t="shared" si="2"/>
        <v>4</v>
      </c>
      <c r="L27" s="3">
        <v>40.5</v>
      </c>
      <c r="M27" s="3">
        <f t="shared" si="3"/>
        <v>52.5</v>
      </c>
    </row>
    <row r="28" spans="1:13" x14ac:dyDescent="0.25">
      <c r="A28" s="6">
        <v>25</v>
      </c>
      <c r="B28" s="14" t="s">
        <v>21</v>
      </c>
      <c r="C28" s="9"/>
      <c r="D28" s="9">
        <v>1</v>
      </c>
      <c r="E28" s="9">
        <v>1</v>
      </c>
      <c r="F28" s="9">
        <v>1</v>
      </c>
      <c r="G28" s="9"/>
      <c r="H28" s="9">
        <v>1</v>
      </c>
      <c r="I28" s="9">
        <v>1</v>
      </c>
      <c r="J28" s="10"/>
      <c r="K28" s="4">
        <f t="shared" si="2"/>
        <v>5</v>
      </c>
      <c r="L28" s="3">
        <v>42</v>
      </c>
      <c r="M28" s="3">
        <f t="shared" si="3"/>
        <v>57</v>
      </c>
    </row>
    <row r="29" spans="1:13" x14ac:dyDescent="0.25">
      <c r="A29" s="6">
        <v>26</v>
      </c>
      <c r="B29" s="13" t="s">
        <v>22</v>
      </c>
      <c r="C29" s="9">
        <v>1</v>
      </c>
      <c r="D29" s="9">
        <v>1</v>
      </c>
      <c r="E29" s="9" t="s">
        <v>31</v>
      </c>
      <c r="F29" s="9">
        <v>1</v>
      </c>
      <c r="G29" s="9">
        <v>1</v>
      </c>
      <c r="H29" s="9"/>
      <c r="I29" s="9">
        <v>1</v>
      </c>
      <c r="J29" s="10"/>
      <c r="K29" s="4">
        <f t="shared" si="2"/>
        <v>5</v>
      </c>
      <c r="L29" s="3">
        <v>43.5</v>
      </c>
      <c r="M29" s="3">
        <f t="shared" si="3"/>
        <v>58.5</v>
      </c>
    </row>
    <row r="30" spans="1:13" x14ac:dyDescent="0.25">
      <c r="A30" s="6">
        <v>27</v>
      </c>
      <c r="B30" s="16" t="s">
        <v>30</v>
      </c>
      <c r="C30" s="9">
        <v>1</v>
      </c>
      <c r="D30" s="9">
        <v>1</v>
      </c>
      <c r="E30" s="9">
        <v>1</v>
      </c>
      <c r="F30" s="9"/>
      <c r="G30" s="9">
        <v>1</v>
      </c>
      <c r="H30" s="9"/>
      <c r="I30" s="9">
        <v>1</v>
      </c>
      <c r="J30" s="10" t="s">
        <v>36</v>
      </c>
      <c r="K30" s="4">
        <f t="shared" si="2"/>
        <v>5</v>
      </c>
      <c r="L30" s="3">
        <v>34.5</v>
      </c>
      <c r="M30" s="3">
        <f t="shared" si="3"/>
        <v>49.5</v>
      </c>
    </row>
    <row r="31" spans="1:13" x14ac:dyDescent="0.25">
      <c r="A31" s="22">
        <v>28</v>
      </c>
      <c r="B31" s="34" t="s">
        <v>23</v>
      </c>
      <c r="C31" s="35" t="s">
        <v>36</v>
      </c>
      <c r="D31" s="35"/>
      <c r="E31" s="35" t="s">
        <v>36</v>
      </c>
      <c r="F31" s="35">
        <v>1</v>
      </c>
      <c r="G31" s="35">
        <v>1</v>
      </c>
      <c r="H31" s="35">
        <v>1</v>
      </c>
      <c r="I31" s="35">
        <v>1</v>
      </c>
      <c r="J31" s="36">
        <v>1</v>
      </c>
      <c r="K31" s="4">
        <f t="shared" si="2"/>
        <v>5</v>
      </c>
      <c r="L31" s="3">
        <v>40.5</v>
      </c>
      <c r="M31" s="3">
        <f t="shared" si="3"/>
        <v>55.5</v>
      </c>
    </row>
    <row r="32" spans="1:13" x14ac:dyDescent="0.25">
      <c r="A32" s="6">
        <v>29</v>
      </c>
      <c r="B32" s="16" t="s">
        <v>24</v>
      </c>
      <c r="C32" s="17" t="s">
        <v>31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/>
      <c r="J32" s="10"/>
      <c r="K32" s="4">
        <f t="shared" si="2"/>
        <v>5</v>
      </c>
      <c r="L32" s="3">
        <v>13.5</v>
      </c>
      <c r="M32" s="3">
        <f t="shared" si="3"/>
        <v>28.5</v>
      </c>
    </row>
    <row r="33" spans="1:13" x14ac:dyDescent="0.25">
      <c r="A33" s="6">
        <v>30</v>
      </c>
      <c r="B33" s="16" t="s">
        <v>25</v>
      </c>
      <c r="C33" s="17">
        <v>1</v>
      </c>
      <c r="D33" s="17">
        <v>1</v>
      </c>
      <c r="E33" s="17">
        <v>1</v>
      </c>
      <c r="F33" s="17">
        <v>1</v>
      </c>
      <c r="G33" s="17"/>
      <c r="H33" s="17">
        <v>1</v>
      </c>
      <c r="I33" s="17"/>
      <c r="J33" s="10"/>
      <c r="K33" s="4">
        <f t="shared" si="2"/>
        <v>5</v>
      </c>
      <c r="L33" s="3">
        <v>15</v>
      </c>
      <c r="M33" s="3">
        <f t="shared" si="3"/>
        <v>30</v>
      </c>
    </row>
    <row r="34" spans="1:13" x14ac:dyDescent="0.25">
      <c r="A34" s="6">
        <v>31</v>
      </c>
      <c r="B34" s="16" t="s">
        <v>26</v>
      </c>
      <c r="C34" s="17" t="s">
        <v>31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/>
      <c r="J34" s="10"/>
      <c r="K34" s="4">
        <f t="shared" si="2"/>
        <v>5</v>
      </c>
      <c r="L34" s="3">
        <v>13.5</v>
      </c>
      <c r="M34" s="3">
        <f t="shared" si="3"/>
        <v>28.5</v>
      </c>
    </row>
    <row r="35" spans="1:13" x14ac:dyDescent="0.25">
      <c r="A35" s="6">
        <v>32</v>
      </c>
      <c r="B35" s="16" t="s">
        <v>27</v>
      </c>
      <c r="C35" s="17">
        <v>1</v>
      </c>
      <c r="D35" s="17" t="s">
        <v>31</v>
      </c>
      <c r="E35" s="17">
        <v>1</v>
      </c>
      <c r="F35" s="17">
        <v>1</v>
      </c>
      <c r="G35" s="17">
        <v>1</v>
      </c>
      <c r="H35" s="17">
        <v>1</v>
      </c>
      <c r="I35" s="17"/>
      <c r="J35" s="10"/>
      <c r="K35" s="4">
        <f t="shared" si="2"/>
        <v>5</v>
      </c>
      <c r="L35" s="3">
        <v>13.5</v>
      </c>
      <c r="M35" s="3">
        <f t="shared" si="3"/>
        <v>28.5</v>
      </c>
    </row>
    <row r="36" spans="1:13" ht="15.75" thickBot="1" x14ac:dyDescent="0.3">
      <c r="A36" s="18">
        <v>33</v>
      </c>
      <c r="B36" s="19" t="s">
        <v>28</v>
      </c>
      <c r="C36" s="20">
        <v>1</v>
      </c>
      <c r="D36" s="20">
        <v>1</v>
      </c>
      <c r="E36" s="20">
        <v>1</v>
      </c>
      <c r="F36" s="20">
        <v>1</v>
      </c>
      <c r="G36" s="20">
        <v>1</v>
      </c>
      <c r="H36" s="20"/>
      <c r="I36" s="20">
        <v>1</v>
      </c>
      <c r="J36" s="21"/>
      <c r="K36" s="4">
        <f t="shared" si="2"/>
        <v>6</v>
      </c>
      <c r="L36" s="3">
        <v>9</v>
      </c>
      <c r="M36" s="3">
        <f t="shared" si="3"/>
        <v>27</v>
      </c>
    </row>
    <row r="38" spans="1:13" x14ac:dyDescent="0.25">
      <c r="C38" s="4">
        <f>SUM(C4:C36)</f>
        <v>19</v>
      </c>
      <c r="D38" s="4">
        <f t="shared" ref="D38:I38" si="4">SUM(D4:D36)</f>
        <v>19</v>
      </c>
      <c r="E38" s="4">
        <f t="shared" si="4"/>
        <v>19</v>
      </c>
      <c r="F38" s="4">
        <f t="shared" si="4"/>
        <v>19</v>
      </c>
      <c r="G38" s="4">
        <f t="shared" si="4"/>
        <v>19</v>
      </c>
      <c r="H38" s="4">
        <f t="shared" si="4"/>
        <v>18</v>
      </c>
      <c r="I38" s="4">
        <f t="shared" si="4"/>
        <v>9</v>
      </c>
      <c r="J38" s="4">
        <f>SUM(J4:J36)</f>
        <v>2</v>
      </c>
    </row>
    <row r="39" spans="1:13" x14ac:dyDescent="0.25">
      <c r="C39" s="5">
        <v>19</v>
      </c>
      <c r="D39" s="5">
        <v>19</v>
      </c>
      <c r="E39" s="5">
        <v>19</v>
      </c>
      <c r="F39" s="5">
        <v>19</v>
      </c>
      <c r="G39" s="5">
        <v>19</v>
      </c>
      <c r="H39" s="5">
        <v>18</v>
      </c>
      <c r="I39" s="5">
        <v>9</v>
      </c>
      <c r="J39" s="5">
        <v>2</v>
      </c>
    </row>
  </sheetData>
  <mergeCells count="11">
    <mergeCell ref="F2:F3"/>
    <mergeCell ref="A2:A3"/>
    <mergeCell ref="B2:B3"/>
    <mergeCell ref="C2:C3"/>
    <mergeCell ref="D2:D3"/>
    <mergeCell ref="E2:E3"/>
    <mergeCell ref="G2:G3"/>
    <mergeCell ref="H2:H3"/>
    <mergeCell ref="I2:I3"/>
    <mergeCell ref="J2:J3"/>
    <mergeCell ref="K2:K3"/>
  </mergeCells>
  <pageMargins left="0.7" right="0.7" top="0.25" bottom="0.2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Normal="100" workbookViewId="0">
      <selection activeCell="C17" sqref="C17"/>
    </sheetView>
  </sheetViews>
  <sheetFormatPr defaultRowHeight="15" x14ac:dyDescent="0.25"/>
  <cols>
    <col min="1" max="1" width="7.5703125" style="3" customWidth="1"/>
    <col min="2" max="2" width="27.42578125" style="3" customWidth="1"/>
    <col min="3" max="3" width="20.7109375" style="4" customWidth="1"/>
    <col min="4" max="4" width="17.42578125" style="3" customWidth="1"/>
    <col min="5" max="5" width="19.140625" style="3" customWidth="1"/>
    <col min="6" max="16384" width="9.140625" style="3"/>
  </cols>
  <sheetData>
    <row r="1" spans="1:5" customFormat="1" ht="18" customHeight="1" x14ac:dyDescent="0.25">
      <c r="B1" s="49" t="s">
        <v>73</v>
      </c>
      <c r="C1" s="49"/>
      <c r="D1" s="49"/>
      <c r="E1" s="49"/>
    </row>
    <row r="2" spans="1:5" customFormat="1" ht="18" customHeight="1" x14ac:dyDescent="0.25">
      <c r="B2" s="50" t="s">
        <v>69</v>
      </c>
      <c r="C2" s="50"/>
      <c r="D2" s="50"/>
      <c r="E2" s="50"/>
    </row>
    <row r="3" spans="1:5" customFormat="1" ht="18" customHeight="1" x14ac:dyDescent="0.25">
      <c r="B3" s="51" t="s">
        <v>70</v>
      </c>
      <c r="C3" s="51"/>
      <c r="D3" s="51"/>
      <c r="E3" s="51"/>
    </row>
    <row r="4" spans="1:5" customFormat="1" ht="18" customHeight="1" thickBot="1" x14ac:dyDescent="0.3">
      <c r="B4" s="40"/>
      <c r="C4" s="40"/>
    </row>
    <row r="5" spans="1:5" ht="18" customHeight="1" x14ac:dyDescent="0.25">
      <c r="A5" s="55" t="s">
        <v>0</v>
      </c>
      <c r="B5" s="57" t="s">
        <v>1</v>
      </c>
      <c r="C5" s="70">
        <v>46167</v>
      </c>
      <c r="D5" s="57" t="s">
        <v>74</v>
      </c>
      <c r="E5" s="57" t="s">
        <v>75</v>
      </c>
    </row>
    <row r="6" spans="1:5" ht="18" customHeight="1" x14ac:dyDescent="0.25">
      <c r="A6" s="56"/>
      <c r="B6" s="58"/>
      <c r="C6" s="71"/>
      <c r="D6" s="58"/>
      <c r="E6" s="58"/>
    </row>
    <row r="7" spans="1:5" ht="27" customHeight="1" x14ac:dyDescent="0.25">
      <c r="A7" s="6">
        <v>1</v>
      </c>
      <c r="B7" s="7" t="s">
        <v>40</v>
      </c>
      <c r="C7" s="28" t="s">
        <v>37</v>
      </c>
      <c r="D7" s="11"/>
      <c r="E7" s="11"/>
    </row>
    <row r="8" spans="1:5" ht="26.25" customHeight="1" x14ac:dyDescent="0.25">
      <c r="A8" s="6">
        <v>2</v>
      </c>
      <c r="B8" s="13" t="s">
        <v>2</v>
      </c>
      <c r="C8" s="28" t="s">
        <v>37</v>
      </c>
      <c r="D8" s="11"/>
      <c r="E8" s="11"/>
    </row>
    <row r="9" spans="1:5" ht="26.25" customHeight="1" x14ac:dyDescent="0.25">
      <c r="A9" s="6">
        <v>3</v>
      </c>
      <c r="B9" s="14" t="s">
        <v>7</v>
      </c>
      <c r="C9" s="27" t="s">
        <v>62</v>
      </c>
      <c r="D9" s="11"/>
      <c r="E9" s="11"/>
    </row>
    <row r="10" spans="1:5" ht="24.75" customHeight="1" x14ac:dyDescent="0.25">
      <c r="A10" s="6">
        <v>4</v>
      </c>
      <c r="B10" s="16" t="s">
        <v>23</v>
      </c>
      <c r="C10" s="27" t="s">
        <v>62</v>
      </c>
      <c r="D10" s="11"/>
      <c r="E10" s="11"/>
    </row>
    <row r="11" spans="1:5" ht="26.25" customHeight="1" x14ac:dyDescent="0.25">
      <c r="A11" s="6">
        <v>5</v>
      </c>
      <c r="B11" s="13"/>
      <c r="C11" s="27"/>
      <c r="D11" s="11"/>
      <c r="E11" s="11"/>
    </row>
  </sheetData>
  <mergeCells count="8">
    <mergeCell ref="A5:A6"/>
    <mergeCell ref="B5:B6"/>
    <mergeCell ref="C5:C6"/>
    <mergeCell ref="B1:E1"/>
    <mergeCell ref="B2:E2"/>
    <mergeCell ref="B3:E3"/>
    <mergeCell ref="D5:D6"/>
    <mergeCell ref="E5:E6"/>
  </mergeCells>
  <pageMargins left="0.7" right="0.7" top="0.75" bottom="0.75" header="0.3" footer="0.3"/>
  <pageSetup paperSize="9" scale="94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H32" sqref="H32"/>
    </sheetView>
  </sheetViews>
  <sheetFormatPr defaultRowHeight="15" x14ac:dyDescent="0.25"/>
  <cols>
    <col min="2" max="2" width="28.42578125" style="48" bestFit="1" customWidth="1"/>
  </cols>
  <sheetData>
    <row r="1" spans="1:10" ht="18.75" x14ac:dyDescent="0.3">
      <c r="B1" s="75" t="s">
        <v>76</v>
      </c>
      <c r="C1" s="75"/>
      <c r="D1" s="75"/>
      <c r="E1" s="75"/>
      <c r="F1" s="75"/>
      <c r="G1" s="75"/>
      <c r="H1" s="75"/>
      <c r="I1" s="75"/>
      <c r="J1" s="75"/>
    </row>
    <row r="2" spans="1:10" ht="18.75" x14ac:dyDescent="0.25">
      <c r="B2" s="76" t="s">
        <v>77</v>
      </c>
      <c r="C2" s="76"/>
      <c r="D2" s="76"/>
      <c r="E2" s="76"/>
      <c r="F2" s="76"/>
      <c r="G2" s="76"/>
      <c r="H2" s="76"/>
      <c r="I2" s="76"/>
      <c r="J2" s="76"/>
    </row>
    <row r="3" spans="1:10" ht="18.75" x14ac:dyDescent="0.25">
      <c r="B3" s="77" t="s">
        <v>78</v>
      </c>
      <c r="C3" s="77"/>
      <c r="D3" s="77"/>
      <c r="E3" s="77"/>
      <c r="F3" s="77"/>
      <c r="G3" s="77"/>
      <c r="H3" s="77"/>
      <c r="I3" s="77"/>
      <c r="J3" s="77"/>
    </row>
    <row r="4" spans="1:10" ht="18.75" x14ac:dyDescent="0.3">
      <c r="B4" s="78" t="s">
        <v>79</v>
      </c>
      <c r="C4" s="78"/>
      <c r="D4" s="78"/>
      <c r="E4" s="42"/>
      <c r="F4" s="79" t="s">
        <v>80</v>
      </c>
      <c r="G4" s="79"/>
      <c r="H4" s="79"/>
      <c r="I4" s="79"/>
      <c r="J4" s="79"/>
    </row>
    <row r="6" spans="1:10" ht="15.75" x14ac:dyDescent="0.25">
      <c r="A6" s="72" t="s">
        <v>0</v>
      </c>
      <c r="B6" s="73" t="s">
        <v>81</v>
      </c>
      <c r="C6" s="74">
        <v>46104</v>
      </c>
      <c r="D6" s="74"/>
      <c r="E6" s="74">
        <v>46105</v>
      </c>
      <c r="F6" s="74"/>
      <c r="G6" s="74">
        <v>46106</v>
      </c>
      <c r="H6" s="74"/>
      <c r="I6" s="74">
        <v>46107</v>
      </c>
      <c r="J6" s="74"/>
    </row>
    <row r="7" spans="1:10" ht="15.75" x14ac:dyDescent="0.25">
      <c r="A7" s="72"/>
      <c r="B7" s="73"/>
      <c r="C7" s="43" t="s">
        <v>82</v>
      </c>
      <c r="D7" s="43" t="s">
        <v>83</v>
      </c>
      <c r="E7" s="43" t="s">
        <v>82</v>
      </c>
      <c r="F7" s="43" t="s">
        <v>83</v>
      </c>
      <c r="G7" s="43" t="s">
        <v>82</v>
      </c>
      <c r="H7" s="43" t="s">
        <v>83</v>
      </c>
      <c r="I7" s="43" t="s">
        <v>82</v>
      </c>
      <c r="J7" s="43" t="s">
        <v>83</v>
      </c>
    </row>
    <row r="8" spans="1:10" ht="15.75" x14ac:dyDescent="0.25">
      <c r="A8" s="44">
        <v>1</v>
      </c>
      <c r="B8" s="45" t="s">
        <v>84</v>
      </c>
      <c r="C8" s="44" t="s">
        <v>57</v>
      </c>
      <c r="D8" s="44"/>
      <c r="E8" s="44"/>
      <c r="F8" s="44" t="s">
        <v>57</v>
      </c>
      <c r="G8" s="44" t="s">
        <v>57</v>
      </c>
      <c r="H8" s="44"/>
      <c r="I8" s="44" t="s">
        <v>62</v>
      </c>
      <c r="J8" s="44"/>
    </row>
    <row r="9" spans="1:10" ht="15.75" x14ac:dyDescent="0.25">
      <c r="A9" s="44">
        <v>2</v>
      </c>
      <c r="B9" s="45" t="s">
        <v>85</v>
      </c>
      <c r="C9" s="44" t="s">
        <v>54</v>
      </c>
      <c r="D9" s="44"/>
      <c r="E9" s="44"/>
      <c r="F9" s="44" t="s">
        <v>54</v>
      </c>
      <c r="G9" s="44" t="s">
        <v>54</v>
      </c>
      <c r="H9" s="44"/>
      <c r="I9" s="44" t="s">
        <v>63</v>
      </c>
      <c r="J9" s="44"/>
    </row>
    <row r="10" spans="1:10" ht="15.75" x14ac:dyDescent="0.25">
      <c r="A10" s="44">
        <v>3</v>
      </c>
      <c r="B10" s="45" t="s">
        <v>86</v>
      </c>
      <c r="C10" s="44" t="s">
        <v>55</v>
      </c>
      <c r="D10" s="44"/>
      <c r="E10" s="44"/>
      <c r="F10" s="44" t="s">
        <v>55</v>
      </c>
      <c r="G10" s="44" t="s">
        <v>55</v>
      </c>
      <c r="H10" s="44"/>
      <c r="I10" s="44" t="s">
        <v>67</v>
      </c>
      <c r="J10" s="44"/>
    </row>
    <row r="11" spans="1:10" ht="15.75" x14ac:dyDescent="0.25">
      <c r="A11" s="44">
        <v>4</v>
      </c>
      <c r="B11" s="45" t="s">
        <v>87</v>
      </c>
      <c r="C11" s="44"/>
      <c r="D11" s="44" t="s">
        <v>57</v>
      </c>
      <c r="E11" s="44" t="s">
        <v>91</v>
      </c>
      <c r="F11" s="44"/>
      <c r="G11" s="44"/>
      <c r="H11" s="44" t="s">
        <v>57</v>
      </c>
      <c r="I11" s="44" t="s">
        <v>65</v>
      </c>
      <c r="J11" s="44"/>
    </row>
    <row r="12" spans="1:10" ht="15.75" x14ac:dyDescent="0.25">
      <c r="A12" s="44">
        <v>5</v>
      </c>
      <c r="B12" s="46" t="s">
        <v>88</v>
      </c>
      <c r="C12" s="44"/>
      <c r="D12" s="44" t="s">
        <v>54</v>
      </c>
      <c r="E12" s="44" t="s">
        <v>54</v>
      </c>
      <c r="F12" s="44"/>
      <c r="G12" s="44"/>
      <c r="H12" s="44" t="s">
        <v>54</v>
      </c>
      <c r="I12" s="44" t="s">
        <v>66</v>
      </c>
      <c r="J12" s="44"/>
    </row>
    <row r="13" spans="1:10" ht="15.75" x14ac:dyDescent="0.25">
      <c r="A13" s="44">
        <v>6</v>
      </c>
      <c r="B13" s="47" t="s">
        <v>89</v>
      </c>
      <c r="C13" s="44"/>
      <c r="D13" s="44" t="s">
        <v>55</v>
      </c>
      <c r="E13" s="44" t="s">
        <v>55</v>
      </c>
      <c r="F13" s="44"/>
      <c r="G13" s="44"/>
      <c r="H13" s="44" t="s">
        <v>55</v>
      </c>
      <c r="I13" s="44" t="s">
        <v>61</v>
      </c>
      <c r="J13" s="44"/>
    </row>
  </sheetData>
  <mergeCells count="11">
    <mergeCell ref="I6:J6"/>
    <mergeCell ref="B1:J1"/>
    <mergeCell ref="B2:J2"/>
    <mergeCell ref="B3:J3"/>
    <mergeCell ref="B4:D4"/>
    <mergeCell ref="F4:J4"/>
    <mergeCell ref="A6:A7"/>
    <mergeCell ref="B6:B7"/>
    <mergeCell ref="C6:D6"/>
    <mergeCell ref="E6:F6"/>
    <mergeCell ref="G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Normal="100" workbookViewId="0">
      <selection activeCell="F19" sqref="F19"/>
    </sheetView>
  </sheetViews>
  <sheetFormatPr defaultRowHeight="15" x14ac:dyDescent="0.25"/>
  <cols>
    <col min="1" max="1" width="7.5703125" style="3" customWidth="1"/>
    <col min="2" max="2" width="27.42578125" style="3" customWidth="1"/>
    <col min="3" max="3" width="20.7109375" style="4" customWidth="1"/>
    <col min="4" max="4" width="17.42578125" style="3" customWidth="1"/>
    <col min="5" max="5" width="19.140625" style="3" customWidth="1"/>
    <col min="6" max="16384" width="9.140625" style="3"/>
  </cols>
  <sheetData>
    <row r="1" spans="1:5" customFormat="1" ht="18" customHeight="1" x14ac:dyDescent="0.25">
      <c r="B1" s="49" t="s">
        <v>73</v>
      </c>
      <c r="C1" s="49"/>
      <c r="D1" s="49"/>
      <c r="E1" s="49"/>
    </row>
    <row r="2" spans="1:5" customFormat="1" ht="18" customHeight="1" x14ac:dyDescent="0.25">
      <c r="B2" s="50" t="s">
        <v>69</v>
      </c>
      <c r="C2" s="50"/>
      <c r="D2" s="50"/>
      <c r="E2" s="50"/>
    </row>
    <row r="3" spans="1:5" customFormat="1" ht="18" customHeight="1" x14ac:dyDescent="0.25">
      <c r="B3" s="51" t="s">
        <v>70</v>
      </c>
      <c r="C3" s="51"/>
      <c r="D3" s="51"/>
      <c r="E3" s="51"/>
    </row>
    <row r="4" spans="1:5" customFormat="1" ht="18" customHeight="1" thickBot="1" x14ac:dyDescent="0.3">
      <c r="B4" s="41"/>
      <c r="C4" s="41"/>
    </row>
    <row r="5" spans="1:5" ht="18" customHeight="1" x14ac:dyDescent="0.25">
      <c r="A5" s="55" t="s">
        <v>0</v>
      </c>
      <c r="B5" s="57" t="s">
        <v>90</v>
      </c>
      <c r="C5" s="70">
        <v>46164</v>
      </c>
      <c r="D5" s="57" t="s">
        <v>74</v>
      </c>
      <c r="E5" s="57" t="s">
        <v>75</v>
      </c>
    </row>
    <row r="6" spans="1:5" ht="18" customHeight="1" x14ac:dyDescent="0.25">
      <c r="A6" s="56"/>
      <c r="B6" s="58"/>
      <c r="C6" s="71"/>
      <c r="D6" s="58"/>
      <c r="E6" s="58"/>
    </row>
    <row r="7" spans="1:5" ht="27.75" customHeight="1" x14ac:dyDescent="0.25">
      <c r="A7" s="6">
        <v>1</v>
      </c>
      <c r="B7" s="45" t="s">
        <v>84</v>
      </c>
      <c r="C7" s="32"/>
      <c r="D7" s="11"/>
      <c r="E7" s="11"/>
    </row>
    <row r="8" spans="1:5" ht="27.75" customHeight="1" x14ac:dyDescent="0.25">
      <c r="A8" s="6">
        <v>2</v>
      </c>
      <c r="B8" s="45" t="s">
        <v>85</v>
      </c>
      <c r="C8" s="32"/>
      <c r="D8" s="11"/>
      <c r="E8" s="11"/>
    </row>
    <row r="9" spans="1:5" ht="27.75" customHeight="1" x14ac:dyDescent="0.25">
      <c r="A9" s="6">
        <v>3</v>
      </c>
      <c r="B9" s="45" t="s">
        <v>86</v>
      </c>
      <c r="C9" s="32"/>
      <c r="D9" s="11"/>
      <c r="E9" s="11"/>
    </row>
    <row r="10" spans="1:5" ht="31.5" customHeight="1" x14ac:dyDescent="0.25">
      <c r="A10" s="6">
        <v>4</v>
      </c>
      <c r="B10" s="45" t="s">
        <v>87</v>
      </c>
      <c r="C10" s="9"/>
      <c r="D10" s="11"/>
      <c r="E10" s="11"/>
    </row>
    <row r="11" spans="1:5" ht="31.5" customHeight="1" x14ac:dyDescent="0.25">
      <c r="A11" s="6">
        <v>5</v>
      </c>
      <c r="B11" s="46" t="s">
        <v>88</v>
      </c>
      <c r="C11" s="5"/>
      <c r="D11" s="11"/>
      <c r="E11" s="11"/>
    </row>
    <row r="12" spans="1:5" ht="31.5" customHeight="1" x14ac:dyDescent="0.25">
      <c r="A12" s="6">
        <v>6</v>
      </c>
      <c r="B12" s="47" t="s">
        <v>89</v>
      </c>
      <c r="C12" s="5"/>
      <c r="D12" s="11"/>
      <c r="E12" s="11"/>
    </row>
    <row r="27" spans="11:11" x14ac:dyDescent="0.25">
      <c r="K27" s="3" t="s">
        <v>92</v>
      </c>
    </row>
  </sheetData>
  <mergeCells count="8">
    <mergeCell ref="B1:E1"/>
    <mergeCell ref="B2:E2"/>
    <mergeCell ref="B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scale="9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Invigiation</vt:lpstr>
      <vt:lpstr>Count (2)</vt:lpstr>
      <vt:lpstr>Sheet3</vt:lpstr>
      <vt:lpstr>Sheet1</vt:lpstr>
      <vt:lpstr>Sheet2</vt:lpstr>
      <vt:lpstr>Invigiation!Print_Titles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Phulchand Chavan</cp:lastModifiedBy>
  <cp:lastPrinted>2026-05-23T12:04:51Z</cp:lastPrinted>
  <dcterms:created xsi:type="dcterms:W3CDTF">2026-03-25T09:03:26Z</dcterms:created>
  <dcterms:modified xsi:type="dcterms:W3CDTF">2026-05-23T12:05:35Z</dcterms:modified>
</cp:coreProperties>
</file>